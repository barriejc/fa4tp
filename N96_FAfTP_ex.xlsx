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early Summary" sheetId="1" r:id="rId4"/>
    <sheet state="visible" name="Monthly Sales" sheetId="2" r:id="rId5"/>
    <sheet state="visible" name="Monthly Opex" sheetId="3" r:id="rId6"/>
    <sheet state="visible" name="Tornado Inputs" sheetId="4" r:id="rId7"/>
    <sheet state="visible" name="NPV Proof" sheetId="5" r:id="rId8"/>
  </sheets>
  <definedNames/>
  <calcPr/>
</workbook>
</file>

<file path=xl/sharedStrings.xml><?xml version="1.0" encoding="utf-8"?>
<sst xmlns="http://schemas.openxmlformats.org/spreadsheetml/2006/main" count="118" uniqueCount="62">
  <si>
    <t>Year</t>
  </si>
  <si>
    <t>Capex</t>
  </si>
  <si>
    <t>Opex</t>
  </si>
  <si>
    <t>Revenue</t>
  </si>
  <si>
    <t>Cash Flow</t>
  </si>
  <si>
    <t>Discounted CF</t>
  </si>
  <si>
    <t>KEY SALES ASSUMPTIONS</t>
  </si>
  <si>
    <t>Market Entry / Pipeline</t>
  </si>
  <si>
    <t>Market Entry Ramp Up (mo)</t>
  </si>
  <si>
    <t>Monthly Escalation</t>
  </si>
  <si>
    <t>Monthly Sales Cap per Market</t>
  </si>
  <si>
    <t>Total Sales over 5 years</t>
  </si>
  <si>
    <t>Assumptions</t>
  </si>
  <si>
    <t>Results</t>
  </si>
  <si>
    <t>BUDGET REQUESTS</t>
  </si>
  <si>
    <t>Capex Per DC</t>
  </si>
  <si>
    <t>NPV</t>
  </si>
  <si>
    <t>Capital Expenses in 2026</t>
  </si>
  <si>
    <t>Discount Rate</t>
  </si>
  <si>
    <t>IRR</t>
  </si>
  <si>
    <t>Operating Expenses over 5 years</t>
  </si>
  <si>
    <t>Negative costs</t>
  </si>
  <si>
    <t>USES OF BUDGET</t>
  </si>
  <si>
    <t>Network Equipment</t>
  </si>
  <si>
    <t>Colocation</t>
  </si>
  <si>
    <t>Power</t>
  </si>
  <si>
    <t>Transit</t>
  </si>
  <si>
    <t>KEY METRICS</t>
  </si>
  <si>
    <t>NPV @ 8%</t>
  </si>
  <si>
    <t>VAR (95th %ile)</t>
  </si>
  <si>
    <t>Today</t>
  </si>
  <si>
    <t>Next Year</t>
  </si>
  <si>
    <t>Discount %</t>
  </si>
  <si>
    <t>Which do you choose?</t>
  </si>
  <si>
    <t>Either</t>
  </si>
  <si>
    <t>Year end Total</t>
  </si>
  <si>
    <t>Month</t>
  </si>
  <si>
    <t>New York</t>
  </si>
  <si>
    <t>San Francisco</t>
  </si>
  <si>
    <t>Dallas</t>
  </si>
  <si>
    <t>Chicago</t>
  </si>
  <si>
    <t>Market Entry</t>
  </si>
  <si>
    <t>Growth Rate/mo</t>
  </si>
  <si>
    <t>Colo per rack</t>
  </si>
  <si>
    <t>Power per rack</t>
  </si>
  <si>
    <t>Transit per DC</t>
  </si>
  <si>
    <t>Ramp up months</t>
  </si>
  <si>
    <t>CF, 𝛥 Capex</t>
  </si>
  <si>
    <t>CF, 𝛥 Opex</t>
  </si>
  <si>
    <t>CF, 𝛥 Revenue</t>
  </si>
  <si>
    <t>Nominal</t>
  </si>
  <si>
    <t>Low</t>
  </si>
  <si>
    <t>High</t>
  </si>
  <si>
    <t>Flat</t>
  </si>
  <si>
    <t>Variation</t>
  </si>
  <si>
    <t>𝛥 Capex</t>
  </si>
  <si>
    <t>𝛥 Opex</t>
  </si>
  <si>
    <t>𝛥 Revenue</t>
  </si>
  <si>
    <t>NPV (sheet)</t>
  </si>
  <si>
    <t>Total investment</t>
  </si>
  <si>
    <t>Total Revenue</t>
  </si>
  <si>
    <t>ROI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</si>
</sst>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"/>
    <numFmt numFmtId="165" formatCode="$#,##0,&quot;K&quot;"/>
    <numFmt numFmtId="166" formatCode="$#,##0.0,&quot;K&quot;"/>
    <numFmt numFmtId="167" formatCode="$#,##0.0,,&quot;M&quot;"/>
    <numFmt numFmtId="168" formatCode="&quot;$&quot;#,##0.00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FFFFFF"/>
      <name val="Montserrat"/>
    </font>
    <font/>
    <font>
      <color theme="1"/>
      <name val="Montserrat"/>
    </font>
    <font>
      <b/>
      <u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</fills>
  <borders count="20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1C4587"/>
      </left>
      <top style="thin">
        <color rgb="FF1C4587"/>
      </top>
      <bottom style="thin">
        <color rgb="FF1C4587"/>
      </bottom>
    </border>
    <border>
      <right style="thin">
        <color rgb="FF1C4587"/>
      </right>
      <top style="thin">
        <color rgb="FF1C4587"/>
      </top>
      <bottom style="thin">
        <color rgb="FF1C4587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top style="double">
        <color rgb="FF000000"/>
      </top>
    </border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bottom style="double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Border="1" applyFont="1"/>
    <xf borderId="2" fillId="0" fontId="2" numFmtId="0" xfId="0" applyBorder="1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3" fillId="0" fontId="2" numFmtId="0" xfId="0" applyBorder="1" applyFont="1"/>
    <xf borderId="4" fillId="2" fontId="3" numFmtId="0" xfId="0" applyAlignment="1" applyBorder="1" applyFill="1" applyFont="1">
      <alignment readingOrder="0"/>
    </xf>
    <xf borderId="5" fillId="0" fontId="4" numFmtId="0" xfId="0" applyBorder="1" applyFont="1"/>
    <xf borderId="6" fillId="0" fontId="2" numFmtId="0" xfId="0" applyBorder="1" applyFont="1"/>
    <xf borderId="7" fillId="0" fontId="5" numFmtId="0" xfId="0" applyAlignment="1" applyBorder="1" applyFont="1">
      <alignment readingOrder="0"/>
    </xf>
    <xf borderId="7" fillId="0" fontId="5" numFmtId="165" xfId="0" applyBorder="1" applyFont="1" applyNumberFormat="1"/>
    <xf borderId="1" fillId="0" fontId="5" numFmtId="0" xfId="0" applyAlignment="1" applyBorder="1" applyFont="1">
      <alignment readingOrder="0"/>
    </xf>
    <xf borderId="1" fillId="0" fontId="5" numFmtId="3" xfId="0" applyAlignment="1" applyBorder="1" applyFont="1" applyNumberFormat="1">
      <alignment readingOrder="0"/>
    </xf>
    <xf borderId="1" fillId="0" fontId="5" numFmtId="9" xfId="0" applyAlignment="1" applyBorder="1" applyFont="1" applyNumberFormat="1">
      <alignment readingOrder="0"/>
    </xf>
    <xf borderId="1" fillId="0" fontId="5" numFmtId="166" xfId="0" applyBorder="1" applyFont="1" applyNumberFormat="1"/>
    <xf borderId="1" fillId="0" fontId="5" numFmtId="167" xfId="0" applyBorder="1" applyFont="1" applyNumberFormat="1"/>
    <xf borderId="8" fillId="0" fontId="2" numFmtId="164" xfId="0" applyBorder="1" applyFont="1" applyNumberFormat="1"/>
    <xf borderId="9" fillId="0" fontId="1" numFmtId="0" xfId="0" applyAlignment="1" applyBorder="1" applyFont="1">
      <alignment horizontal="center" readingOrder="0"/>
    </xf>
    <xf borderId="10" fillId="0" fontId="4" numFmtId="0" xfId="0" applyBorder="1" applyFont="1"/>
    <xf borderId="0" fillId="0" fontId="1" numFmtId="0" xfId="0" applyFont="1"/>
    <xf borderId="9" fillId="3" fontId="1" numFmtId="0" xfId="0" applyAlignment="1" applyBorder="1" applyFill="1" applyFont="1">
      <alignment horizontal="center" readingOrder="0"/>
    </xf>
    <xf borderId="11" fillId="0" fontId="2" numFmtId="0" xfId="0" applyAlignment="1" applyBorder="1" applyFont="1">
      <alignment readingOrder="0"/>
    </xf>
    <xf borderId="12" fillId="4" fontId="2" numFmtId="164" xfId="0" applyAlignment="1" applyBorder="1" applyFill="1" applyFont="1" applyNumberFormat="1">
      <alignment readingOrder="0"/>
    </xf>
    <xf borderId="11" fillId="3" fontId="2" numFmtId="0" xfId="0" applyAlignment="1" applyBorder="1" applyFont="1">
      <alignment readingOrder="0"/>
    </xf>
    <xf borderId="12" fillId="3" fontId="2" numFmtId="164" xfId="0" applyBorder="1" applyFont="1" applyNumberFormat="1"/>
    <xf borderId="13" fillId="0" fontId="2" numFmtId="0" xfId="0" applyAlignment="1" applyBorder="1" applyFont="1">
      <alignment readingOrder="0"/>
    </xf>
    <xf borderId="14" fillId="4" fontId="2" numFmtId="9" xfId="0" applyAlignment="1" applyBorder="1" applyFont="1" applyNumberFormat="1">
      <alignment readingOrder="0"/>
    </xf>
    <xf borderId="13" fillId="3" fontId="2" numFmtId="0" xfId="0" applyAlignment="1" applyBorder="1" applyFont="1">
      <alignment readingOrder="0"/>
    </xf>
    <xf borderId="14" fillId="3" fontId="2" numFmtId="10" xfId="0" applyBorder="1" applyFont="1" applyNumberFormat="1"/>
    <xf borderId="1" fillId="0" fontId="5" numFmtId="165" xfId="0" applyBorder="1" applyFont="1" applyNumberFormat="1"/>
    <xf borderId="2" fillId="0" fontId="5" numFmtId="0" xfId="0" applyAlignment="1" applyBorder="1" applyFont="1">
      <alignment readingOrder="0"/>
    </xf>
    <xf borderId="0" fillId="4" fontId="2" numFmtId="0" xfId="0" applyAlignment="1" applyFont="1">
      <alignment readingOrder="0"/>
    </xf>
    <xf borderId="5" fillId="2" fontId="2" numFmtId="0" xfId="0" applyBorder="1" applyFont="1"/>
    <xf borderId="1" fillId="0" fontId="5" numFmtId="9" xfId="0" applyBorder="1" applyFont="1" applyNumberFormat="1"/>
    <xf borderId="1" fillId="0" fontId="5" numFmtId="165" xfId="0" applyAlignment="1" applyBorder="1" applyFont="1" applyNumberFormat="1">
      <alignment readingOrder="0"/>
    </xf>
    <xf borderId="0" fillId="0" fontId="2" numFmtId="9" xfId="0" applyAlignment="1" applyFont="1" applyNumberFormat="1">
      <alignment readingOrder="0"/>
    </xf>
    <xf borderId="15" fillId="0" fontId="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10" fillId="0" fontId="2" numFmtId="0" xfId="0" applyBorder="1" applyFont="1"/>
    <xf borderId="14" fillId="4" fontId="2" numFmtId="10" xfId="0" applyAlignment="1" applyBorder="1" applyFont="1" applyNumberFormat="1">
      <alignment readingOrder="0"/>
    </xf>
    <xf borderId="0" fillId="0" fontId="2" numFmtId="168" xfId="0" applyAlignment="1" applyFont="1" applyNumberFormat="1">
      <alignment readingOrder="0"/>
    </xf>
    <xf borderId="14" fillId="4" fontId="2" numFmtId="3" xfId="0" applyAlignment="1" applyBorder="1" applyFont="1" applyNumberFormat="1">
      <alignment readingOrder="0"/>
    </xf>
    <xf borderId="0" fillId="0" fontId="6" numFmtId="0" xfId="0" applyAlignment="1" applyFont="1">
      <alignment horizontal="center" readingOrder="0"/>
    </xf>
    <xf borderId="16" fillId="5" fontId="2" numFmtId="0" xfId="0" applyAlignment="1" applyBorder="1" applyFill="1" applyFont="1">
      <alignment readingOrder="0"/>
    </xf>
    <xf borderId="17" fillId="0" fontId="2" numFmtId="164" xfId="0" applyBorder="1" applyFont="1" applyNumberFormat="1"/>
    <xf borderId="18" fillId="6" fontId="2" numFmtId="164" xfId="0" applyBorder="1" applyFill="1" applyFont="1" applyNumberFormat="1"/>
    <xf borderId="19" fillId="5" fontId="2" numFmtId="164" xfId="0" applyBorder="1" applyFont="1" applyNumberFormat="1"/>
    <xf borderId="18" fillId="5" fontId="2" numFmtId="164" xfId="0" applyBorder="1" applyFont="1" applyNumberFormat="1"/>
    <xf borderId="19" fillId="6" fontId="2" numFmtId="164" xfId="0" applyBorder="1" applyFont="1" applyNumberFormat="1"/>
    <xf borderId="0" fillId="4" fontId="2" numFmtId="9" xfId="0" applyAlignment="1" applyFont="1" applyNumberFormat="1">
      <alignment readingOrder="0"/>
    </xf>
    <xf borderId="0" fillId="0" fontId="2" numFmtId="0" xfId="0" applyFont="1"/>
    <xf borderId="9" fillId="3" fontId="2" numFmtId="0" xfId="0" applyAlignment="1" applyBorder="1" applyFont="1">
      <alignment readingOrder="0"/>
    </xf>
    <xf borderId="10" fillId="3" fontId="2" numFmtId="164" xfId="0" applyBorder="1" applyFont="1" applyNumberFormat="1"/>
    <xf borderId="14" fillId="3" fontId="2" numFmtId="9" xfId="0" applyBorder="1" applyFont="1" applyNumberFormat="1"/>
    <xf borderId="0" fillId="0" fontId="2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Verdana"/>
              </a:defRPr>
            </a:pPr>
            <a:r>
              <a:rPr b="0">
                <a:solidFill>
                  <a:srgbClr val="757575"/>
                </a:solidFill>
                <a:latin typeface="Verdana"/>
              </a:rPr>
              <a:t>Capex, Opex, Revenue and Cash Flow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'Yearly Summary'!$B$1</c:f>
            </c:strRef>
          </c:tx>
          <c:spPr>
            <a:solidFill>
              <a:srgbClr val="B7B7B7"/>
            </a:solidFill>
            <a:ln cmpd="sng">
              <a:solidFill>
                <a:srgbClr val="000000"/>
              </a:solidFill>
            </a:ln>
          </c:spPr>
          <c:cat>
            <c:strRef>
              <c:f>'Yearly Summary'!$A$2:$A$7</c:f>
            </c:strRef>
          </c:cat>
          <c:val>
            <c:numRef>
              <c:f>'Yearly Summary'!$B$2:$B$7</c:f>
              <c:numCache/>
            </c:numRef>
          </c:val>
        </c:ser>
        <c:ser>
          <c:idx val="1"/>
          <c:order val="1"/>
          <c:tx>
            <c:strRef>
              <c:f>'Yearly Summary'!$C$1</c:f>
            </c:strRef>
          </c:tx>
          <c:spPr>
            <a:solidFill>
              <a:srgbClr val="3D85C6"/>
            </a:solidFill>
            <a:ln cmpd="sng">
              <a:solidFill>
                <a:srgbClr val="000000"/>
              </a:solidFill>
            </a:ln>
          </c:spPr>
          <c:cat>
            <c:strRef>
              <c:f>'Yearly Summary'!$A$2:$A$7</c:f>
            </c:strRef>
          </c:cat>
          <c:val>
            <c:numRef>
              <c:f>'Yearly Summary'!$C$2:$C$7</c:f>
              <c:numCache/>
            </c:numRef>
          </c:val>
        </c:ser>
        <c:ser>
          <c:idx val="2"/>
          <c:order val="2"/>
          <c:tx>
            <c:strRef>
              <c:f>'Yearly Summary'!$D$1</c:f>
            </c:strRef>
          </c:tx>
          <c:spPr>
            <a:solidFill>
              <a:srgbClr val="9FC5E8"/>
            </a:solidFill>
            <a:ln cmpd="sng">
              <a:solidFill>
                <a:srgbClr val="000000"/>
              </a:solidFill>
            </a:ln>
          </c:spPr>
          <c:cat>
            <c:strRef>
              <c:f>'Yearly Summary'!$A$2:$A$7</c:f>
            </c:strRef>
          </c:cat>
          <c:val>
            <c:numRef>
              <c:f>'Yearly Summary'!$D$2:$D$7</c:f>
              <c:numCache/>
            </c:numRef>
          </c:val>
        </c:ser>
        <c:overlap val="100"/>
        <c:axId val="57018345"/>
        <c:axId val="933458301"/>
      </c:barChart>
      <c:lineChart>
        <c:varyColors val="0"/>
        <c:ser>
          <c:idx val="3"/>
          <c:order val="3"/>
          <c:tx>
            <c:strRef>
              <c:f>'Yearly Summary'!$E$1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'Yearly Summary'!$A$2:$A$7</c:f>
            </c:strRef>
          </c:cat>
          <c:val>
            <c:numRef>
              <c:f>'Yearly Summary'!$E$2:$E$7</c:f>
              <c:numCache/>
            </c:numRef>
          </c:val>
          <c:smooth val="0"/>
        </c:ser>
        <c:axId val="57018345"/>
        <c:axId val="933458301"/>
      </c:lineChart>
      <c:catAx>
        <c:axId val="570183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Verdana"/>
                  </a:defRPr>
                </a:pPr>
                <a:r>
                  <a:rPr b="0">
                    <a:solidFill>
                      <a:srgbClr val="000000"/>
                    </a:solidFill>
                    <a:latin typeface="Verdana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933458301"/>
      </c:catAx>
      <c:valAx>
        <c:axId val="9334583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Verdana"/>
                  </a:defRPr>
                </a:pPr>
                <a:r>
                  <a:rPr b="0">
                    <a:solidFill>
                      <a:srgbClr val="000000"/>
                    </a:solidFill>
                    <a:latin typeface="Verdana"/>
                  </a:rPr>
                  <a:t>USD (K)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570183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Verdana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209550</xdr:colOff>
      <xdr:row>14</xdr:row>
      <xdr:rowOff>104775</xdr:rowOff>
    </xdr:from>
    <xdr:ext cx="5476875" cy="33909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1.5"/>
    <col customWidth="1" min="3" max="3" width="9.88"/>
    <col customWidth="1" min="4" max="4" width="10.25"/>
    <col customWidth="1" min="5" max="5" width="12.0"/>
    <col customWidth="1" min="8" max="8" width="27.88"/>
    <col customWidth="1" min="9" max="9" width="9.0"/>
    <col customWidth="1" min="10" max="10" width="14.13"/>
    <col customWidth="1" min="11" max="11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3"/>
      <c r="I1" s="3"/>
      <c r="J1" s="2"/>
    </row>
    <row r="2">
      <c r="A2" s="4">
        <v>0.0</v>
      </c>
      <c r="B2" s="5">
        <f>$B$10*$B$13</f>
        <v>-100000</v>
      </c>
      <c r="E2" s="6">
        <f t="shared" ref="E2:E7" si="1">D2+C2+B2</f>
        <v>-100000</v>
      </c>
      <c r="F2" s="6">
        <f t="shared" ref="F2:F7" si="2">E2/(1+$B$11)^A2</f>
        <v>-100000</v>
      </c>
      <c r="G2" s="7"/>
      <c r="H2" s="8" t="s">
        <v>6</v>
      </c>
      <c r="I2" s="9"/>
      <c r="J2" s="10"/>
    </row>
    <row r="3">
      <c r="A3" s="4">
        <v>1.0</v>
      </c>
      <c r="B3" s="5">
        <f>3*$B$10*$B$13</f>
        <v>-300000</v>
      </c>
      <c r="C3" s="6">
        <f>'Monthly Opex'!N6*$B$13</f>
        <v>-137350</v>
      </c>
      <c r="D3" s="6">
        <f>'Monthly Sales'!N7</f>
        <v>233451.7729</v>
      </c>
      <c r="E3" s="6">
        <f t="shared" si="1"/>
        <v>-203898.2271</v>
      </c>
      <c r="F3" s="6">
        <f t="shared" si="2"/>
        <v>-188794.6547</v>
      </c>
      <c r="G3" s="2"/>
      <c r="H3" s="11" t="s">
        <v>7</v>
      </c>
      <c r="I3" s="12">
        <f>'Monthly Sales'!B10</f>
        <v>5000</v>
      </c>
      <c r="J3" s="2"/>
    </row>
    <row r="4">
      <c r="A4" s="4">
        <v>2.0</v>
      </c>
      <c r="B4" s="6"/>
      <c r="C4" s="6">
        <f>'Monthly Opex'!N20*$B$13</f>
        <v>-156683</v>
      </c>
      <c r="D4" s="6">
        <f>'Monthly Sales'!N20</f>
        <v>299951.6264</v>
      </c>
      <c r="E4" s="6">
        <f t="shared" si="1"/>
        <v>143268.6264</v>
      </c>
      <c r="F4" s="6">
        <f t="shared" si="2"/>
        <v>122829.7552</v>
      </c>
      <c r="G4" s="2"/>
      <c r="H4" s="13" t="s">
        <v>8</v>
      </c>
      <c r="I4" s="14">
        <f>'Monthly Opex'!B12</f>
        <v>4</v>
      </c>
      <c r="J4" s="2"/>
    </row>
    <row r="5">
      <c r="A5" s="4">
        <v>3.0</v>
      </c>
      <c r="B5" s="6"/>
      <c r="C5" s="6">
        <f t="shared" ref="C5:C7" si="3">C4</f>
        <v>-156683</v>
      </c>
      <c r="D5" s="6">
        <f>'Monthly Sales'!N29</f>
        <v>300437.834</v>
      </c>
      <c r="E5" s="6">
        <f t="shared" si="1"/>
        <v>143754.834</v>
      </c>
      <c r="F5" s="6">
        <f t="shared" si="2"/>
        <v>114117.222</v>
      </c>
      <c r="G5" s="2"/>
      <c r="H5" s="13" t="s">
        <v>9</v>
      </c>
      <c r="I5" s="15">
        <f>'Monthly Sales'!B11</f>
        <v>0.02</v>
      </c>
      <c r="J5" s="2"/>
    </row>
    <row r="6">
      <c r="A6" s="4">
        <v>4.0</v>
      </c>
      <c r="B6" s="6"/>
      <c r="C6" s="6">
        <f t="shared" si="3"/>
        <v>-156683</v>
      </c>
      <c r="D6" s="6">
        <f t="shared" ref="D6:D7" si="4">D5</f>
        <v>300437.834</v>
      </c>
      <c r="E6" s="6">
        <f t="shared" si="1"/>
        <v>143754.834</v>
      </c>
      <c r="F6" s="6">
        <f t="shared" si="2"/>
        <v>105664.0945</v>
      </c>
      <c r="G6" s="2"/>
      <c r="H6" s="13" t="s">
        <v>10</v>
      </c>
      <c r="I6" s="16">
        <f>'Monthly Sales'!M3</f>
        <v>6216.871542</v>
      </c>
      <c r="J6" s="2"/>
    </row>
    <row r="7">
      <c r="A7" s="4">
        <v>5.0</v>
      </c>
      <c r="B7" s="6"/>
      <c r="C7" s="6">
        <f t="shared" si="3"/>
        <v>-156683</v>
      </c>
      <c r="D7" s="6">
        <f t="shared" si="4"/>
        <v>300437.834</v>
      </c>
      <c r="E7" s="6">
        <f t="shared" si="1"/>
        <v>143754.834</v>
      </c>
      <c r="F7" s="6">
        <f t="shared" si="2"/>
        <v>97837.12452</v>
      </c>
      <c r="G7" s="2"/>
      <c r="H7" s="13" t="s">
        <v>11</v>
      </c>
      <c r="I7" s="17">
        <f>D8</f>
        <v>1434716.901</v>
      </c>
      <c r="J7" s="2"/>
    </row>
    <row r="8">
      <c r="B8" s="18">
        <f t="shared" ref="B8:E8" si="5">sum(B2:B7)</f>
        <v>-400000</v>
      </c>
      <c r="C8" s="18">
        <f t="shared" si="5"/>
        <v>-764082</v>
      </c>
      <c r="D8" s="18">
        <f t="shared" si="5"/>
        <v>1434716.901</v>
      </c>
      <c r="E8" s="18">
        <f t="shared" si="5"/>
        <v>270634.9014</v>
      </c>
      <c r="F8" s="18">
        <f>SUM(F2:F7)</f>
        <v>151653.5415</v>
      </c>
      <c r="G8" s="2"/>
      <c r="H8" s="3"/>
      <c r="I8" s="3"/>
      <c r="J8" s="2"/>
    </row>
    <row r="9">
      <c r="A9" s="19" t="s">
        <v>12</v>
      </c>
      <c r="B9" s="20"/>
      <c r="C9" s="21"/>
      <c r="D9" s="22" t="s">
        <v>13</v>
      </c>
      <c r="E9" s="20"/>
      <c r="G9" s="7"/>
      <c r="H9" s="8" t="s">
        <v>14</v>
      </c>
      <c r="I9" s="9"/>
      <c r="J9" s="10"/>
    </row>
    <row r="10">
      <c r="A10" s="23" t="s">
        <v>15</v>
      </c>
      <c r="B10" s="24">
        <v>100000.0</v>
      </c>
      <c r="D10" s="25" t="s">
        <v>16</v>
      </c>
      <c r="E10" s="26">
        <f t="array" ref="E10">npv(B11,E3:E7)+E2</f>
        <v>151653.5415</v>
      </c>
      <c r="G10" s="2"/>
      <c r="H10" s="11" t="s">
        <v>17</v>
      </c>
      <c r="I10" s="12">
        <f>B8*B13</f>
        <v>400000</v>
      </c>
      <c r="J10" s="2"/>
    </row>
    <row r="11">
      <c r="A11" s="27" t="s">
        <v>18</v>
      </c>
      <c r="B11" s="28">
        <v>0.08</v>
      </c>
      <c r="D11" s="29" t="s">
        <v>19</v>
      </c>
      <c r="E11" s="30">
        <f>irr(E2:E7,0.03)</f>
        <v>0.2647717425</v>
      </c>
      <c r="G11" s="2"/>
      <c r="H11" s="13" t="s">
        <v>20</v>
      </c>
      <c r="I11" s="31">
        <f>C8*B13</f>
        <v>764082</v>
      </c>
      <c r="J11" s="2"/>
    </row>
    <row r="12">
      <c r="G12" s="2"/>
      <c r="H12" s="32"/>
      <c r="I12" s="32"/>
      <c r="J12" s="2"/>
    </row>
    <row r="13">
      <c r="A13" s="4" t="s">
        <v>21</v>
      </c>
      <c r="B13" s="33">
        <v>-1.0</v>
      </c>
      <c r="G13" s="7"/>
      <c r="H13" s="8" t="s">
        <v>22</v>
      </c>
      <c r="I13" s="9"/>
      <c r="J13" s="10"/>
    </row>
    <row r="14">
      <c r="G14" s="2"/>
      <c r="H14" s="11" t="s">
        <v>23</v>
      </c>
      <c r="I14" s="12">
        <f>B8*B13</f>
        <v>400000</v>
      </c>
      <c r="J14" s="2"/>
    </row>
    <row r="15">
      <c r="G15" s="2"/>
      <c r="H15" s="13" t="s">
        <v>24</v>
      </c>
      <c r="I15" s="31">
        <f>'Monthly Opex'!N3+'Monthly Opex'!N17*4</f>
        <v>128700</v>
      </c>
      <c r="J15" s="2"/>
    </row>
    <row r="16">
      <c r="G16" s="2"/>
      <c r="H16" s="13" t="s">
        <v>25</v>
      </c>
      <c r="I16" s="31">
        <f>'Monthly Opex'!N4+'Monthly Opex'!N18*4</f>
        <v>157248</v>
      </c>
      <c r="J16" s="2"/>
    </row>
    <row r="17">
      <c r="G17" s="2"/>
      <c r="H17" s="13" t="s">
        <v>26</v>
      </c>
      <c r="I17" s="31">
        <f>'Monthly Opex'!N5+'Monthly Opex'!N19*4</f>
        <v>468000</v>
      </c>
      <c r="J17" s="2"/>
    </row>
    <row r="18">
      <c r="G18" s="2"/>
      <c r="H18" s="2"/>
      <c r="I18" s="2"/>
      <c r="J18" s="2"/>
    </row>
    <row r="21">
      <c r="G21" s="2"/>
      <c r="H21" s="3"/>
      <c r="I21" s="3"/>
      <c r="J21" s="2"/>
    </row>
    <row r="22">
      <c r="G22" s="7"/>
      <c r="H22" s="8"/>
      <c r="I22" s="34"/>
      <c r="J22" s="10"/>
    </row>
    <row r="23">
      <c r="G23" s="2"/>
      <c r="H23" s="11"/>
      <c r="I23" s="12"/>
      <c r="J23" s="2"/>
    </row>
    <row r="24">
      <c r="G24" s="2"/>
      <c r="H24" s="13"/>
      <c r="I24" s="31"/>
      <c r="J24" s="2"/>
    </row>
    <row r="25">
      <c r="G25" s="2"/>
      <c r="H25" s="32"/>
      <c r="I25" s="32"/>
      <c r="J25" s="2"/>
    </row>
    <row r="28">
      <c r="I28" s="2"/>
      <c r="J28" s="3"/>
      <c r="K28" s="3"/>
      <c r="L28" s="2"/>
    </row>
    <row r="29">
      <c r="I29" s="7"/>
      <c r="J29" s="8" t="s">
        <v>27</v>
      </c>
      <c r="K29" s="9"/>
      <c r="L29" s="10"/>
    </row>
    <row r="30">
      <c r="I30" s="2"/>
      <c r="J30" s="11" t="s">
        <v>28</v>
      </c>
      <c r="K30" s="12">
        <f t="shared" ref="K30:K31" si="6">E10</f>
        <v>151653.5415</v>
      </c>
      <c r="L30" s="2"/>
    </row>
    <row r="31">
      <c r="I31" s="2"/>
      <c r="J31" s="13" t="s">
        <v>19</v>
      </c>
      <c r="K31" s="35">
        <f t="shared" si="6"/>
        <v>0.2647717425</v>
      </c>
      <c r="L31" s="2"/>
    </row>
    <row r="32">
      <c r="I32" s="2"/>
      <c r="J32" s="13" t="s">
        <v>29</v>
      </c>
      <c r="K32" s="36">
        <v>50702.0</v>
      </c>
      <c r="L32" s="2"/>
    </row>
    <row r="33">
      <c r="I33" s="2"/>
      <c r="J33" s="32"/>
      <c r="K33" s="32"/>
      <c r="L33" s="2"/>
    </row>
    <row r="35">
      <c r="B35" s="4" t="s">
        <v>30</v>
      </c>
      <c r="C35" s="4" t="s">
        <v>31</v>
      </c>
      <c r="D35" s="4" t="s">
        <v>32</v>
      </c>
      <c r="E35" s="4" t="s">
        <v>33</v>
      </c>
    </row>
    <row r="36">
      <c r="B36" s="5">
        <v>100.0</v>
      </c>
      <c r="C36" s="5">
        <v>100.0</v>
      </c>
      <c r="D36" s="37">
        <v>0.0</v>
      </c>
      <c r="E36" s="4" t="s">
        <v>30</v>
      </c>
    </row>
    <row r="37">
      <c r="B37" s="5">
        <v>100.0</v>
      </c>
      <c r="C37" s="5">
        <v>105.0</v>
      </c>
      <c r="D37" s="37">
        <v>0.05</v>
      </c>
      <c r="E37" s="4" t="s">
        <v>34</v>
      </c>
    </row>
    <row r="38">
      <c r="B38" s="5">
        <v>100.0</v>
      </c>
      <c r="C38" s="5">
        <v>105.0</v>
      </c>
      <c r="D38" s="37">
        <v>0.08</v>
      </c>
      <c r="E38" s="4" t="s">
        <v>30</v>
      </c>
    </row>
  </sheetData>
  <mergeCells count="6">
    <mergeCell ref="H2:I2"/>
    <mergeCell ref="A9:B9"/>
    <mergeCell ref="D9:E9"/>
    <mergeCell ref="H9:I9"/>
    <mergeCell ref="H13:I13"/>
    <mergeCell ref="J29:K2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6.25"/>
    <col customWidth="1" min="3" max="6" width="6.13"/>
    <col customWidth="1" hidden="1" min="7" max="12" width="6.13"/>
    <col customWidth="1" min="13" max="13" width="6.13"/>
    <col customWidth="1" min="14" max="14" width="11.63"/>
  </cols>
  <sheetData>
    <row r="1">
      <c r="N1" s="1" t="s">
        <v>35</v>
      </c>
    </row>
    <row r="2">
      <c r="A2" s="38" t="s">
        <v>36</v>
      </c>
      <c r="B2" s="38">
        <v>1.0</v>
      </c>
      <c r="C2" s="38">
        <v>2.0</v>
      </c>
      <c r="D2" s="38">
        <v>3.0</v>
      </c>
      <c r="E2" s="38">
        <v>4.0</v>
      </c>
      <c r="F2" s="38">
        <v>5.0</v>
      </c>
      <c r="G2" s="38">
        <v>6.0</v>
      </c>
      <c r="H2" s="38">
        <v>7.0</v>
      </c>
      <c r="I2" s="38">
        <v>8.0</v>
      </c>
      <c r="J2" s="38">
        <v>9.0</v>
      </c>
      <c r="K2" s="38">
        <v>10.0</v>
      </c>
      <c r="L2" s="38">
        <v>11.0</v>
      </c>
      <c r="M2" s="38">
        <v>12.0</v>
      </c>
      <c r="N2" s="38">
        <v>2026.0</v>
      </c>
    </row>
    <row r="3">
      <c r="A3" s="4" t="s">
        <v>37</v>
      </c>
      <c r="B3" s="6">
        <f>$B$10</f>
        <v>5000</v>
      </c>
      <c r="C3" s="6">
        <f t="shared" ref="C3:M3" si="1">B3*(1+$B$11)</f>
        <v>5100</v>
      </c>
      <c r="D3" s="6">
        <f t="shared" si="1"/>
        <v>5202</v>
      </c>
      <c r="E3" s="6">
        <f t="shared" si="1"/>
        <v>5306.04</v>
      </c>
      <c r="F3" s="6">
        <f t="shared" si="1"/>
        <v>5412.1608</v>
      </c>
      <c r="G3" s="6">
        <f t="shared" si="1"/>
        <v>5520.404016</v>
      </c>
      <c r="H3" s="6">
        <f t="shared" si="1"/>
        <v>5630.812096</v>
      </c>
      <c r="I3" s="6">
        <f t="shared" si="1"/>
        <v>5743.428338</v>
      </c>
      <c r="J3" s="6">
        <f t="shared" si="1"/>
        <v>5858.296905</v>
      </c>
      <c r="K3" s="6">
        <f t="shared" si="1"/>
        <v>5975.462843</v>
      </c>
      <c r="L3" s="6">
        <f t="shared" si="1"/>
        <v>6094.9721</v>
      </c>
      <c r="M3" s="6">
        <f t="shared" si="1"/>
        <v>6216.871542</v>
      </c>
      <c r="N3" s="6">
        <f t="shared" ref="N3:N6" si="3">sum(B3:M3)</f>
        <v>67060.44864</v>
      </c>
    </row>
    <row r="4">
      <c r="A4" s="4" t="s">
        <v>38</v>
      </c>
      <c r="C4" s="6">
        <f>$B$10</f>
        <v>5000</v>
      </c>
      <c r="D4" s="6">
        <f t="shared" ref="D4:M4" si="2">C4*(1+$B$11)</f>
        <v>5100</v>
      </c>
      <c r="E4" s="6">
        <f t="shared" si="2"/>
        <v>5202</v>
      </c>
      <c r="F4" s="6">
        <f t="shared" si="2"/>
        <v>5306.04</v>
      </c>
      <c r="G4" s="6">
        <f t="shared" si="2"/>
        <v>5412.1608</v>
      </c>
      <c r="H4" s="6">
        <f t="shared" si="2"/>
        <v>5520.404016</v>
      </c>
      <c r="I4" s="6">
        <f t="shared" si="2"/>
        <v>5630.812096</v>
      </c>
      <c r="J4" s="6">
        <f t="shared" si="2"/>
        <v>5743.428338</v>
      </c>
      <c r="K4" s="6">
        <f t="shared" si="2"/>
        <v>5858.296905</v>
      </c>
      <c r="L4" s="6">
        <f t="shared" si="2"/>
        <v>5975.462843</v>
      </c>
      <c r="M4" s="6">
        <f t="shared" si="2"/>
        <v>6094.9721</v>
      </c>
      <c r="N4" s="6">
        <f t="shared" si="3"/>
        <v>60843.5771</v>
      </c>
    </row>
    <row r="5">
      <c r="A5" s="4" t="s">
        <v>39</v>
      </c>
      <c r="D5" s="6">
        <f>$B$10</f>
        <v>5000</v>
      </c>
      <c r="E5" s="6">
        <f t="shared" ref="E5:M5" si="4">D5*(1+$B$11)</f>
        <v>5100</v>
      </c>
      <c r="F5" s="6">
        <f t="shared" si="4"/>
        <v>5202</v>
      </c>
      <c r="G5" s="6">
        <f t="shared" si="4"/>
        <v>5306.04</v>
      </c>
      <c r="H5" s="6">
        <f t="shared" si="4"/>
        <v>5412.1608</v>
      </c>
      <c r="I5" s="6">
        <f t="shared" si="4"/>
        <v>5520.404016</v>
      </c>
      <c r="J5" s="6">
        <f t="shared" si="4"/>
        <v>5630.812096</v>
      </c>
      <c r="K5" s="6">
        <f t="shared" si="4"/>
        <v>5743.428338</v>
      </c>
      <c r="L5" s="6">
        <f t="shared" si="4"/>
        <v>5858.296905</v>
      </c>
      <c r="M5" s="6">
        <f t="shared" si="4"/>
        <v>5975.462843</v>
      </c>
      <c r="N5" s="6">
        <f t="shared" si="3"/>
        <v>54748.605</v>
      </c>
    </row>
    <row r="6">
      <c r="A6" s="4" t="s">
        <v>40</v>
      </c>
      <c r="E6" s="6">
        <f>$B$10</f>
        <v>5000</v>
      </c>
      <c r="F6" s="6">
        <f t="shared" ref="F6:M6" si="5">E6*(1+$B$11)</f>
        <v>5100</v>
      </c>
      <c r="G6" s="6">
        <f t="shared" si="5"/>
        <v>5202</v>
      </c>
      <c r="H6" s="6">
        <f t="shared" si="5"/>
        <v>5306.04</v>
      </c>
      <c r="I6" s="6">
        <f t="shared" si="5"/>
        <v>5412.1608</v>
      </c>
      <c r="J6" s="6">
        <f t="shared" si="5"/>
        <v>5520.404016</v>
      </c>
      <c r="K6" s="6">
        <f t="shared" si="5"/>
        <v>5630.812096</v>
      </c>
      <c r="L6" s="6">
        <f t="shared" si="5"/>
        <v>5743.428338</v>
      </c>
      <c r="M6" s="6">
        <f t="shared" si="5"/>
        <v>5858.296905</v>
      </c>
      <c r="N6" s="6">
        <f t="shared" si="3"/>
        <v>48773.14216</v>
      </c>
    </row>
    <row r="7">
      <c r="N7" s="18">
        <f>SUM(N2:N6)</f>
        <v>233451.7729</v>
      </c>
    </row>
    <row r="9">
      <c r="A9" s="39" t="s">
        <v>12</v>
      </c>
      <c r="B9" s="40"/>
    </row>
    <row r="10">
      <c r="A10" s="23" t="s">
        <v>41</v>
      </c>
      <c r="B10" s="24">
        <v>5000.0</v>
      </c>
    </row>
    <row r="11">
      <c r="A11" s="27" t="s">
        <v>42</v>
      </c>
      <c r="B11" s="41">
        <v>0.02</v>
      </c>
    </row>
    <row r="14">
      <c r="N14" s="1" t="s">
        <v>35</v>
      </c>
    </row>
    <row r="15">
      <c r="A15" s="38" t="s">
        <v>36</v>
      </c>
      <c r="B15" s="38">
        <v>1.0</v>
      </c>
      <c r="C15" s="38">
        <v>2.0</v>
      </c>
      <c r="D15" s="38">
        <v>3.0</v>
      </c>
      <c r="E15" s="38">
        <v>4.0</v>
      </c>
      <c r="F15" s="38">
        <v>5.0</v>
      </c>
      <c r="G15" s="38">
        <v>6.0</v>
      </c>
      <c r="H15" s="38">
        <v>7.0</v>
      </c>
      <c r="I15" s="38">
        <v>8.0</v>
      </c>
      <c r="J15" s="38">
        <v>9.0</v>
      </c>
      <c r="K15" s="38">
        <v>10.0</v>
      </c>
      <c r="L15" s="38">
        <v>11.0</v>
      </c>
      <c r="M15" s="38">
        <v>12.0</v>
      </c>
      <c r="N15" s="38">
        <v>2027.0</v>
      </c>
    </row>
    <row r="16">
      <c r="A16" s="4" t="s">
        <v>37</v>
      </c>
      <c r="B16" s="6">
        <f t="shared" ref="B16:M16" si="6">$M$3</f>
        <v>6216.871542</v>
      </c>
      <c r="C16" s="6">
        <f t="shared" si="6"/>
        <v>6216.871542</v>
      </c>
      <c r="D16" s="6">
        <f t="shared" si="6"/>
        <v>6216.871542</v>
      </c>
      <c r="E16" s="6">
        <f t="shared" si="6"/>
        <v>6216.871542</v>
      </c>
      <c r="F16" s="6">
        <f t="shared" si="6"/>
        <v>6216.871542</v>
      </c>
      <c r="G16" s="6">
        <f t="shared" si="6"/>
        <v>6216.871542</v>
      </c>
      <c r="H16" s="6">
        <f t="shared" si="6"/>
        <v>6216.871542</v>
      </c>
      <c r="I16" s="6">
        <f t="shared" si="6"/>
        <v>6216.871542</v>
      </c>
      <c r="J16" s="6">
        <f t="shared" si="6"/>
        <v>6216.871542</v>
      </c>
      <c r="K16" s="6">
        <f t="shared" si="6"/>
        <v>6216.871542</v>
      </c>
      <c r="L16" s="6">
        <f t="shared" si="6"/>
        <v>6216.871542</v>
      </c>
      <c r="M16" s="6">
        <f t="shared" si="6"/>
        <v>6216.871542</v>
      </c>
      <c r="N16" s="6">
        <f t="shared" ref="N16:N19" si="8">sum(B16:M16)</f>
        <v>74602.4585</v>
      </c>
    </row>
    <row r="17">
      <c r="A17" s="4" t="s">
        <v>38</v>
      </c>
      <c r="B17" s="6">
        <f t="shared" ref="B17:B19" si="9">if(GTE($M4,$M$3),$M$3,$M4*(1+$B$11))</f>
        <v>6216.871542</v>
      </c>
      <c r="C17" s="6">
        <f t="shared" ref="C17:M17" si="7">if(GTE(B17,$M$3),$M$3,B17*(1+$B$11))</f>
        <v>6216.871542</v>
      </c>
      <c r="D17" s="6">
        <f t="shared" si="7"/>
        <v>6216.871542</v>
      </c>
      <c r="E17" s="6">
        <f t="shared" si="7"/>
        <v>6216.871542</v>
      </c>
      <c r="F17" s="6">
        <f t="shared" si="7"/>
        <v>6216.871542</v>
      </c>
      <c r="G17" s="6">
        <f t="shared" si="7"/>
        <v>6216.871542</v>
      </c>
      <c r="H17" s="6">
        <f t="shared" si="7"/>
        <v>6216.871542</v>
      </c>
      <c r="I17" s="6">
        <f t="shared" si="7"/>
        <v>6216.871542</v>
      </c>
      <c r="J17" s="6">
        <f t="shared" si="7"/>
        <v>6216.871542</v>
      </c>
      <c r="K17" s="6">
        <f t="shared" si="7"/>
        <v>6216.871542</v>
      </c>
      <c r="L17" s="6">
        <f t="shared" si="7"/>
        <v>6216.871542</v>
      </c>
      <c r="M17" s="6">
        <f t="shared" si="7"/>
        <v>6216.871542</v>
      </c>
      <c r="N17" s="6">
        <f t="shared" si="8"/>
        <v>74602.4585</v>
      </c>
    </row>
    <row r="18">
      <c r="A18" s="4" t="s">
        <v>39</v>
      </c>
      <c r="B18" s="6">
        <f t="shared" si="9"/>
        <v>6094.9721</v>
      </c>
      <c r="C18" s="6">
        <f t="shared" ref="C18:M18" si="10">if(GTE(B18,$M$3),$M$3,B18*(1+$B$11))</f>
        <v>6216.871542</v>
      </c>
      <c r="D18" s="6">
        <f t="shared" si="10"/>
        <v>6216.871542</v>
      </c>
      <c r="E18" s="6">
        <f t="shared" si="10"/>
        <v>6216.871542</v>
      </c>
      <c r="F18" s="6">
        <f t="shared" si="10"/>
        <v>6216.871542</v>
      </c>
      <c r="G18" s="6">
        <f t="shared" si="10"/>
        <v>6216.871542</v>
      </c>
      <c r="H18" s="6">
        <f t="shared" si="10"/>
        <v>6216.871542</v>
      </c>
      <c r="I18" s="6">
        <f t="shared" si="10"/>
        <v>6216.871542</v>
      </c>
      <c r="J18" s="6">
        <f t="shared" si="10"/>
        <v>6216.871542</v>
      </c>
      <c r="K18" s="6">
        <f t="shared" si="10"/>
        <v>6216.871542</v>
      </c>
      <c r="L18" s="6">
        <f t="shared" si="10"/>
        <v>6216.871542</v>
      </c>
      <c r="M18" s="6">
        <f t="shared" si="10"/>
        <v>6216.871542</v>
      </c>
      <c r="N18" s="6">
        <f t="shared" si="8"/>
        <v>74480.55906</v>
      </c>
    </row>
    <row r="19">
      <c r="A19" s="4" t="s">
        <v>40</v>
      </c>
      <c r="B19" s="6">
        <f t="shared" si="9"/>
        <v>5975.462843</v>
      </c>
      <c r="C19" s="6">
        <f t="shared" ref="C19:M19" si="11">if(GTE(B19,$M$3),$M$3,B19*(1+$B$11))</f>
        <v>6094.9721</v>
      </c>
      <c r="D19" s="6">
        <f t="shared" si="11"/>
        <v>6216.871542</v>
      </c>
      <c r="E19" s="6">
        <f t="shared" si="11"/>
        <v>6216.871542</v>
      </c>
      <c r="F19" s="6">
        <f t="shared" si="11"/>
        <v>6216.871542</v>
      </c>
      <c r="G19" s="6">
        <f t="shared" si="11"/>
        <v>6216.871542</v>
      </c>
      <c r="H19" s="6">
        <f t="shared" si="11"/>
        <v>6216.871542</v>
      </c>
      <c r="I19" s="6">
        <f t="shared" si="11"/>
        <v>6216.871542</v>
      </c>
      <c r="J19" s="6">
        <f t="shared" si="11"/>
        <v>6216.871542</v>
      </c>
      <c r="K19" s="6">
        <f t="shared" si="11"/>
        <v>6216.871542</v>
      </c>
      <c r="L19" s="6">
        <f t="shared" si="11"/>
        <v>6216.871542</v>
      </c>
      <c r="M19" s="6">
        <f t="shared" si="11"/>
        <v>6216.871542</v>
      </c>
      <c r="N19" s="6">
        <f t="shared" si="8"/>
        <v>74239.15036</v>
      </c>
    </row>
    <row r="20">
      <c r="N20" s="18">
        <f>SUM(N15:N19)</f>
        <v>299951.6264</v>
      </c>
    </row>
    <row r="23">
      <c r="N23" s="1" t="s">
        <v>35</v>
      </c>
    </row>
    <row r="24">
      <c r="A24" s="38" t="s">
        <v>36</v>
      </c>
      <c r="B24" s="38">
        <v>1.0</v>
      </c>
      <c r="C24" s="38">
        <v>2.0</v>
      </c>
      <c r="D24" s="38">
        <v>3.0</v>
      </c>
      <c r="E24" s="38">
        <v>4.0</v>
      </c>
      <c r="F24" s="38">
        <v>5.0</v>
      </c>
      <c r="G24" s="38">
        <v>6.0</v>
      </c>
      <c r="H24" s="38">
        <v>7.0</v>
      </c>
      <c r="I24" s="38">
        <v>8.0</v>
      </c>
      <c r="J24" s="38">
        <v>9.0</v>
      </c>
      <c r="K24" s="38">
        <v>10.0</v>
      </c>
      <c r="L24" s="38">
        <v>11.0</v>
      </c>
      <c r="M24" s="38">
        <v>12.0</v>
      </c>
      <c r="N24" s="38">
        <v>2028.0</v>
      </c>
    </row>
    <row r="25">
      <c r="A25" s="4" t="s">
        <v>37</v>
      </c>
      <c r="B25" s="6">
        <f t="shared" ref="B25:M25" si="12">$M$3</f>
        <v>6216.871542</v>
      </c>
      <c r="C25" s="6">
        <f t="shared" si="12"/>
        <v>6216.871542</v>
      </c>
      <c r="D25" s="6">
        <f t="shared" si="12"/>
        <v>6216.871542</v>
      </c>
      <c r="E25" s="6">
        <f t="shared" si="12"/>
        <v>6216.871542</v>
      </c>
      <c r="F25" s="6">
        <f t="shared" si="12"/>
        <v>6216.871542</v>
      </c>
      <c r="G25" s="6">
        <f t="shared" si="12"/>
        <v>6216.871542</v>
      </c>
      <c r="H25" s="6">
        <f t="shared" si="12"/>
        <v>6216.871542</v>
      </c>
      <c r="I25" s="6">
        <f t="shared" si="12"/>
        <v>6216.871542</v>
      </c>
      <c r="J25" s="6">
        <f t="shared" si="12"/>
        <v>6216.871542</v>
      </c>
      <c r="K25" s="6">
        <f t="shared" si="12"/>
        <v>6216.871542</v>
      </c>
      <c r="L25" s="6">
        <f t="shared" si="12"/>
        <v>6216.871542</v>
      </c>
      <c r="M25" s="6">
        <f t="shared" si="12"/>
        <v>6216.871542</v>
      </c>
      <c r="N25" s="6">
        <f t="shared" ref="N25:N28" si="14">sum(B25:M25)</f>
        <v>74602.4585</v>
      </c>
    </row>
    <row r="26">
      <c r="A26" s="4" t="s">
        <v>38</v>
      </c>
      <c r="B26" s="6">
        <f t="shared" ref="B26:M26" si="13">$M$3</f>
        <v>6216.871542</v>
      </c>
      <c r="C26" s="6">
        <f t="shared" si="13"/>
        <v>6216.871542</v>
      </c>
      <c r="D26" s="6">
        <f t="shared" si="13"/>
        <v>6216.871542</v>
      </c>
      <c r="E26" s="6">
        <f t="shared" si="13"/>
        <v>6216.871542</v>
      </c>
      <c r="F26" s="6">
        <f t="shared" si="13"/>
        <v>6216.871542</v>
      </c>
      <c r="G26" s="6">
        <f t="shared" si="13"/>
        <v>6216.871542</v>
      </c>
      <c r="H26" s="6">
        <f t="shared" si="13"/>
        <v>6216.871542</v>
      </c>
      <c r="I26" s="6">
        <f t="shared" si="13"/>
        <v>6216.871542</v>
      </c>
      <c r="J26" s="6">
        <f t="shared" si="13"/>
        <v>6216.871542</v>
      </c>
      <c r="K26" s="6">
        <f t="shared" si="13"/>
        <v>6216.871542</v>
      </c>
      <c r="L26" s="6">
        <f t="shared" si="13"/>
        <v>6216.871542</v>
      </c>
      <c r="M26" s="6">
        <f t="shared" si="13"/>
        <v>6216.871542</v>
      </c>
      <c r="N26" s="6">
        <f t="shared" si="14"/>
        <v>74602.4585</v>
      </c>
    </row>
    <row r="27">
      <c r="A27" s="4" t="s">
        <v>39</v>
      </c>
      <c r="B27" s="6">
        <f t="shared" ref="B27:M27" si="15">$M$3</f>
        <v>6216.871542</v>
      </c>
      <c r="C27" s="6">
        <f t="shared" si="15"/>
        <v>6216.871542</v>
      </c>
      <c r="D27" s="6">
        <f t="shared" si="15"/>
        <v>6216.871542</v>
      </c>
      <c r="E27" s="6">
        <f t="shared" si="15"/>
        <v>6216.871542</v>
      </c>
      <c r="F27" s="6">
        <f t="shared" si="15"/>
        <v>6216.871542</v>
      </c>
      <c r="G27" s="6">
        <f t="shared" si="15"/>
        <v>6216.871542</v>
      </c>
      <c r="H27" s="6">
        <f t="shared" si="15"/>
        <v>6216.871542</v>
      </c>
      <c r="I27" s="6">
        <f t="shared" si="15"/>
        <v>6216.871542</v>
      </c>
      <c r="J27" s="6">
        <f t="shared" si="15"/>
        <v>6216.871542</v>
      </c>
      <c r="K27" s="6">
        <f t="shared" si="15"/>
        <v>6216.871542</v>
      </c>
      <c r="L27" s="6">
        <f t="shared" si="15"/>
        <v>6216.871542</v>
      </c>
      <c r="M27" s="6">
        <f t="shared" si="15"/>
        <v>6216.871542</v>
      </c>
      <c r="N27" s="6">
        <f t="shared" si="14"/>
        <v>74602.4585</v>
      </c>
    </row>
    <row r="28">
      <c r="A28" s="4" t="s">
        <v>40</v>
      </c>
      <c r="B28" s="6">
        <f t="shared" ref="B28:M28" si="16">$M$3</f>
        <v>6216.871542</v>
      </c>
      <c r="C28" s="6">
        <f t="shared" si="16"/>
        <v>6216.871542</v>
      </c>
      <c r="D28" s="6">
        <f t="shared" si="16"/>
        <v>6216.871542</v>
      </c>
      <c r="E28" s="6">
        <f t="shared" si="16"/>
        <v>6216.871542</v>
      </c>
      <c r="F28" s="6">
        <f t="shared" si="16"/>
        <v>6216.871542</v>
      </c>
      <c r="G28" s="6">
        <f t="shared" si="16"/>
        <v>6216.871542</v>
      </c>
      <c r="H28" s="6">
        <f t="shared" si="16"/>
        <v>6216.871542</v>
      </c>
      <c r="I28" s="6">
        <f t="shared" si="16"/>
        <v>6216.871542</v>
      </c>
      <c r="J28" s="6">
        <f t="shared" si="16"/>
        <v>6216.871542</v>
      </c>
      <c r="K28" s="6">
        <f t="shared" si="16"/>
        <v>6216.871542</v>
      </c>
      <c r="L28" s="6">
        <f t="shared" si="16"/>
        <v>6216.871542</v>
      </c>
      <c r="M28" s="6">
        <f t="shared" si="16"/>
        <v>6216.871542</v>
      </c>
      <c r="N28" s="6">
        <f t="shared" si="14"/>
        <v>74602.4585</v>
      </c>
    </row>
    <row r="29">
      <c r="N29" s="18">
        <f>SUM(N24:N28)</f>
        <v>300437.834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4" width="8.38"/>
    <col customWidth="1" hidden="1" min="5" max="12" width="8.38"/>
    <col customWidth="1" min="13" max="13" width="8.38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1" t="s">
        <v>35</v>
      </c>
    </row>
    <row r="2">
      <c r="A2" s="38" t="s">
        <v>36</v>
      </c>
      <c r="B2" s="38">
        <v>1.0</v>
      </c>
      <c r="C2" s="38">
        <v>2.0</v>
      </c>
      <c r="D2" s="38">
        <v>3.0</v>
      </c>
      <c r="E2" s="38">
        <v>4.0</v>
      </c>
      <c r="F2" s="38">
        <v>5.0</v>
      </c>
      <c r="G2" s="38">
        <v>6.0</v>
      </c>
      <c r="H2" s="38">
        <v>7.0</v>
      </c>
      <c r="I2" s="38">
        <v>8.0</v>
      </c>
      <c r="J2" s="38">
        <v>9.0</v>
      </c>
      <c r="K2" s="38">
        <v>10.0</v>
      </c>
      <c r="L2" s="38">
        <v>11.0</v>
      </c>
      <c r="M2" s="38">
        <v>12.0</v>
      </c>
      <c r="N2" s="38">
        <v>2026.0</v>
      </c>
    </row>
    <row r="3">
      <c r="A3" s="4" t="s">
        <v>24</v>
      </c>
      <c r="B3" s="42">
        <f t="shared" ref="B3:M3" si="1">if(LT(B$2,$B$12),$B9*B$2,$B9*$B$12)</f>
        <v>550</v>
      </c>
      <c r="C3" s="42">
        <f t="shared" si="1"/>
        <v>1100</v>
      </c>
      <c r="D3" s="42">
        <f t="shared" si="1"/>
        <v>1650</v>
      </c>
      <c r="E3" s="42">
        <f t="shared" si="1"/>
        <v>2200</v>
      </c>
      <c r="F3" s="42">
        <f t="shared" si="1"/>
        <v>2200</v>
      </c>
      <c r="G3" s="42">
        <f t="shared" si="1"/>
        <v>2200</v>
      </c>
      <c r="H3" s="42">
        <f t="shared" si="1"/>
        <v>2200</v>
      </c>
      <c r="I3" s="42">
        <f t="shared" si="1"/>
        <v>2200</v>
      </c>
      <c r="J3" s="42">
        <f t="shared" si="1"/>
        <v>2200</v>
      </c>
      <c r="K3" s="42">
        <f t="shared" si="1"/>
        <v>2200</v>
      </c>
      <c r="L3" s="42">
        <f t="shared" si="1"/>
        <v>2200</v>
      </c>
      <c r="M3" s="42">
        <f t="shared" si="1"/>
        <v>2200</v>
      </c>
      <c r="N3" s="6">
        <f t="shared" ref="N3:N5" si="3">SUM(B3:M3)</f>
        <v>23100</v>
      </c>
    </row>
    <row r="4">
      <c r="A4" s="4" t="s">
        <v>25</v>
      </c>
      <c r="B4" s="42">
        <f t="shared" ref="B4:M4" si="2">if(LT(B$2,$B$12),$B10*B$2,$B10*$B$12)</f>
        <v>672</v>
      </c>
      <c r="C4" s="42">
        <f t="shared" si="2"/>
        <v>1344</v>
      </c>
      <c r="D4" s="42">
        <f t="shared" si="2"/>
        <v>2016</v>
      </c>
      <c r="E4" s="42">
        <f t="shared" si="2"/>
        <v>2688</v>
      </c>
      <c r="F4" s="42">
        <f t="shared" si="2"/>
        <v>2688</v>
      </c>
      <c r="G4" s="42">
        <f t="shared" si="2"/>
        <v>2688</v>
      </c>
      <c r="H4" s="42">
        <f t="shared" si="2"/>
        <v>2688</v>
      </c>
      <c r="I4" s="42">
        <f t="shared" si="2"/>
        <v>2688</v>
      </c>
      <c r="J4" s="42">
        <f t="shared" si="2"/>
        <v>2688</v>
      </c>
      <c r="K4" s="42">
        <f t="shared" si="2"/>
        <v>2688</v>
      </c>
      <c r="L4" s="42">
        <f t="shared" si="2"/>
        <v>2688</v>
      </c>
      <c r="M4" s="42">
        <f t="shared" si="2"/>
        <v>2688</v>
      </c>
      <c r="N4" s="6">
        <f t="shared" si="3"/>
        <v>28224</v>
      </c>
    </row>
    <row r="5">
      <c r="A5" s="4" t="s">
        <v>26</v>
      </c>
      <c r="B5" s="42">
        <f t="shared" ref="B5:M5" si="4">if(LT(B$2,$B$12),$B11*B$2,$B11*$B$12)</f>
        <v>2000</v>
      </c>
      <c r="C5" s="42">
        <f t="shared" si="4"/>
        <v>4000</v>
      </c>
      <c r="D5" s="42">
        <f t="shared" si="4"/>
        <v>6000</v>
      </c>
      <c r="E5" s="42">
        <f t="shared" si="4"/>
        <v>8000</v>
      </c>
      <c r="F5" s="42">
        <f t="shared" si="4"/>
        <v>8000</v>
      </c>
      <c r="G5" s="42">
        <f t="shared" si="4"/>
        <v>8000</v>
      </c>
      <c r="H5" s="42">
        <f t="shared" si="4"/>
        <v>8000</v>
      </c>
      <c r="I5" s="42">
        <f t="shared" si="4"/>
        <v>8000</v>
      </c>
      <c r="J5" s="42">
        <f t="shared" si="4"/>
        <v>8000</v>
      </c>
      <c r="K5" s="42">
        <f t="shared" si="4"/>
        <v>8000</v>
      </c>
      <c r="L5" s="42">
        <f t="shared" si="4"/>
        <v>8000</v>
      </c>
      <c r="M5" s="42">
        <f t="shared" si="4"/>
        <v>8000</v>
      </c>
      <c r="N5" s="6">
        <f t="shared" si="3"/>
        <v>84000</v>
      </c>
    </row>
    <row r="6">
      <c r="N6" s="18">
        <f>SUM(N2:N5)</f>
        <v>137350</v>
      </c>
    </row>
    <row r="8">
      <c r="A8" s="39" t="s">
        <v>12</v>
      </c>
      <c r="B8" s="40"/>
    </row>
    <row r="9">
      <c r="A9" s="23" t="s">
        <v>43</v>
      </c>
      <c r="B9" s="24">
        <v>550.0</v>
      </c>
    </row>
    <row r="10">
      <c r="A10" s="23" t="s">
        <v>44</v>
      </c>
      <c r="B10" s="24">
        <v>672.0</v>
      </c>
    </row>
    <row r="11">
      <c r="A11" s="23" t="s">
        <v>45</v>
      </c>
      <c r="B11" s="24">
        <v>2000.0</v>
      </c>
    </row>
    <row r="12">
      <c r="A12" s="27" t="s">
        <v>46</v>
      </c>
      <c r="B12" s="43">
        <v>4.0</v>
      </c>
    </row>
    <row r="13">
      <c r="A13" s="4"/>
      <c r="B13" s="5"/>
    </row>
    <row r="14">
      <c r="A14" s="4"/>
      <c r="B14" s="5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1" t="s">
        <v>35</v>
      </c>
    </row>
    <row r="16">
      <c r="A16" s="38" t="s">
        <v>36</v>
      </c>
      <c r="B16" s="38">
        <v>1.0</v>
      </c>
      <c r="C16" s="38">
        <v>2.0</v>
      </c>
      <c r="D16" s="38">
        <v>3.0</v>
      </c>
      <c r="E16" s="38">
        <v>4.0</v>
      </c>
      <c r="F16" s="38">
        <v>5.0</v>
      </c>
      <c r="G16" s="38">
        <v>6.0</v>
      </c>
      <c r="H16" s="38">
        <v>7.0</v>
      </c>
      <c r="I16" s="38">
        <v>8.0</v>
      </c>
      <c r="J16" s="38">
        <v>9.0</v>
      </c>
      <c r="K16" s="38">
        <v>10.0</v>
      </c>
      <c r="L16" s="38">
        <v>11.0</v>
      </c>
      <c r="M16" s="38">
        <v>12.0</v>
      </c>
      <c r="N16" s="38">
        <v>2027.0</v>
      </c>
    </row>
    <row r="17">
      <c r="A17" s="4" t="s">
        <v>24</v>
      </c>
      <c r="B17" s="42">
        <f t="shared" ref="B17:B19" si="6">M3</f>
        <v>2200</v>
      </c>
      <c r="C17" s="42">
        <f t="shared" ref="C17:M17" si="5">B17</f>
        <v>2200</v>
      </c>
      <c r="D17" s="42">
        <f t="shared" si="5"/>
        <v>2200</v>
      </c>
      <c r="E17" s="42">
        <f t="shared" si="5"/>
        <v>2200</v>
      </c>
      <c r="F17" s="42">
        <f t="shared" si="5"/>
        <v>2200</v>
      </c>
      <c r="G17" s="42">
        <f t="shared" si="5"/>
        <v>2200</v>
      </c>
      <c r="H17" s="42">
        <f t="shared" si="5"/>
        <v>2200</v>
      </c>
      <c r="I17" s="42">
        <f t="shared" si="5"/>
        <v>2200</v>
      </c>
      <c r="J17" s="42">
        <f t="shared" si="5"/>
        <v>2200</v>
      </c>
      <c r="K17" s="42">
        <f t="shared" si="5"/>
        <v>2200</v>
      </c>
      <c r="L17" s="42">
        <f t="shared" si="5"/>
        <v>2200</v>
      </c>
      <c r="M17" s="42">
        <f t="shared" si="5"/>
        <v>2200</v>
      </c>
      <c r="N17" s="6">
        <f t="shared" ref="N17:N19" si="8">SUM(B17:M17)</f>
        <v>26400</v>
      </c>
    </row>
    <row r="18">
      <c r="A18" s="4" t="s">
        <v>25</v>
      </c>
      <c r="B18" s="42">
        <f t="shared" si="6"/>
        <v>2688</v>
      </c>
      <c r="C18" s="42">
        <f t="shared" ref="C18:M18" si="7">B18</f>
        <v>2688</v>
      </c>
      <c r="D18" s="42">
        <f t="shared" si="7"/>
        <v>2688</v>
      </c>
      <c r="E18" s="42">
        <f t="shared" si="7"/>
        <v>2688</v>
      </c>
      <c r="F18" s="42">
        <f t="shared" si="7"/>
        <v>2688</v>
      </c>
      <c r="G18" s="42">
        <f t="shared" si="7"/>
        <v>2688</v>
      </c>
      <c r="H18" s="42">
        <f t="shared" si="7"/>
        <v>2688</v>
      </c>
      <c r="I18" s="42">
        <f t="shared" si="7"/>
        <v>2688</v>
      </c>
      <c r="J18" s="42">
        <f t="shared" si="7"/>
        <v>2688</v>
      </c>
      <c r="K18" s="42">
        <f t="shared" si="7"/>
        <v>2688</v>
      </c>
      <c r="L18" s="42">
        <f t="shared" si="7"/>
        <v>2688</v>
      </c>
      <c r="M18" s="42">
        <f t="shared" si="7"/>
        <v>2688</v>
      </c>
      <c r="N18" s="6">
        <f t="shared" si="8"/>
        <v>32256</v>
      </c>
    </row>
    <row r="19">
      <c r="A19" s="4" t="s">
        <v>26</v>
      </c>
      <c r="B19" s="42">
        <f t="shared" si="6"/>
        <v>8000</v>
      </c>
      <c r="C19" s="42">
        <f t="shared" ref="C19:M19" si="9">B19</f>
        <v>8000</v>
      </c>
      <c r="D19" s="42">
        <f t="shared" si="9"/>
        <v>8000</v>
      </c>
      <c r="E19" s="42">
        <f t="shared" si="9"/>
        <v>8000</v>
      </c>
      <c r="F19" s="42">
        <f t="shared" si="9"/>
        <v>8000</v>
      </c>
      <c r="G19" s="42">
        <f t="shared" si="9"/>
        <v>8000</v>
      </c>
      <c r="H19" s="42">
        <f t="shared" si="9"/>
        <v>8000</v>
      </c>
      <c r="I19" s="42">
        <f t="shared" si="9"/>
        <v>8000</v>
      </c>
      <c r="J19" s="42">
        <f t="shared" si="9"/>
        <v>8000</v>
      </c>
      <c r="K19" s="42">
        <f t="shared" si="9"/>
        <v>8000</v>
      </c>
      <c r="L19" s="42">
        <f t="shared" si="9"/>
        <v>8000</v>
      </c>
      <c r="M19" s="42">
        <f t="shared" si="9"/>
        <v>8000</v>
      </c>
      <c r="N19" s="6">
        <f t="shared" si="8"/>
        <v>96000</v>
      </c>
    </row>
    <row r="20">
      <c r="N20" s="18">
        <f>SUM(N16:N19)</f>
        <v>156683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5" width="8.5"/>
    <col customWidth="1" min="6" max="6" width="7.63"/>
    <col customWidth="1" min="7" max="7" width="8.5"/>
    <col customWidth="1" min="8" max="8" width="8.88"/>
    <col customWidth="1" min="9" max="10" width="8.0"/>
  </cols>
  <sheetData>
    <row r="1">
      <c r="B1" s="44" t="s">
        <v>47</v>
      </c>
      <c r="E1" s="44" t="s">
        <v>48</v>
      </c>
      <c r="H1" s="44" t="s">
        <v>49</v>
      </c>
    </row>
    <row r="2">
      <c r="A2" s="4" t="s">
        <v>0</v>
      </c>
      <c r="B2" s="4" t="s">
        <v>50</v>
      </c>
      <c r="C2" s="4" t="s">
        <v>51</v>
      </c>
      <c r="D2" s="4" t="s">
        <v>52</v>
      </c>
      <c r="E2" s="4" t="s">
        <v>50</v>
      </c>
      <c r="F2" s="4" t="s">
        <v>51</v>
      </c>
      <c r="G2" s="4" t="s">
        <v>52</v>
      </c>
      <c r="H2" s="4" t="s">
        <v>50</v>
      </c>
      <c r="I2" s="4" t="s">
        <v>51</v>
      </c>
      <c r="J2" s="4" t="s">
        <v>52</v>
      </c>
    </row>
    <row r="3">
      <c r="A3" s="4">
        <v>0.0</v>
      </c>
      <c r="B3" s="6">
        <f t="shared" ref="B3:B8" si="1">$B15+$E15+$H15</f>
        <v>-100000</v>
      </c>
      <c r="C3" s="6">
        <f t="shared" ref="C3:C8" si="2">$C15+$E15+$H15</f>
        <v>-50000</v>
      </c>
      <c r="D3" s="6">
        <f t="shared" ref="D3:D8" si="3">$D15+$E15+$H15</f>
        <v>-150000</v>
      </c>
      <c r="E3" s="6">
        <f t="shared" ref="E3:E8" si="4">$B15+$E15+$H15</f>
        <v>-100000</v>
      </c>
      <c r="F3" s="6">
        <f t="shared" ref="F3:F8" si="5">$B15+$F15+$H15</f>
        <v>-100000</v>
      </c>
      <c r="G3" s="6">
        <f t="shared" ref="G3:G8" si="6">$B15+$G15+$H15</f>
        <v>-100000</v>
      </c>
      <c r="H3" s="6">
        <f t="shared" ref="H3:H8" si="7">$B15+$E15+$H15</f>
        <v>-100000</v>
      </c>
      <c r="I3" s="6">
        <f t="shared" ref="I3:I8" si="8">$B15+$E15+$I15</f>
        <v>-100000</v>
      </c>
      <c r="J3" s="6">
        <f t="shared" ref="J3:J8" si="9">$B15+$E15+$J15</f>
        <v>-100000</v>
      </c>
    </row>
    <row r="4">
      <c r="A4" s="4">
        <v>1.0</v>
      </c>
      <c r="B4" s="6">
        <f t="shared" si="1"/>
        <v>-203898.2271</v>
      </c>
      <c r="C4" s="6">
        <f t="shared" si="2"/>
        <v>-53898.22711</v>
      </c>
      <c r="D4" s="6">
        <f t="shared" si="3"/>
        <v>-353898.2271</v>
      </c>
      <c r="E4" s="6">
        <f t="shared" si="4"/>
        <v>-203898.2271</v>
      </c>
      <c r="F4" s="6">
        <f t="shared" si="5"/>
        <v>-135223.2271</v>
      </c>
      <c r="G4" s="6">
        <f t="shared" si="6"/>
        <v>-272573.2271</v>
      </c>
      <c r="H4" s="6">
        <f t="shared" si="7"/>
        <v>-203898.2271</v>
      </c>
      <c r="I4" s="6">
        <f t="shared" si="8"/>
        <v>-320624.1136</v>
      </c>
      <c r="J4" s="6">
        <f t="shared" si="9"/>
        <v>-87172.34066</v>
      </c>
    </row>
    <row r="5">
      <c r="A5" s="4">
        <v>2.0</v>
      </c>
      <c r="B5" s="6">
        <f t="shared" si="1"/>
        <v>143268.6264</v>
      </c>
      <c r="C5" s="6">
        <f t="shared" si="2"/>
        <v>143268.6264</v>
      </c>
      <c r="D5" s="6">
        <f t="shared" si="3"/>
        <v>143268.6264</v>
      </c>
      <c r="E5" s="6">
        <f t="shared" si="4"/>
        <v>143268.6264</v>
      </c>
      <c r="F5" s="6">
        <f t="shared" si="5"/>
        <v>221610.1264</v>
      </c>
      <c r="G5" s="6">
        <f t="shared" si="6"/>
        <v>64927.12643</v>
      </c>
      <c r="H5" s="6">
        <f t="shared" si="7"/>
        <v>143268.6264</v>
      </c>
      <c r="I5" s="6">
        <f t="shared" si="8"/>
        <v>-6707.186784</v>
      </c>
      <c r="J5" s="6">
        <f t="shared" si="9"/>
        <v>293244.4396</v>
      </c>
    </row>
    <row r="6">
      <c r="A6" s="4">
        <v>3.0</v>
      </c>
      <c r="B6" s="6">
        <f t="shared" si="1"/>
        <v>143754.834</v>
      </c>
      <c r="C6" s="6">
        <f t="shared" si="2"/>
        <v>143754.834</v>
      </c>
      <c r="D6" s="6">
        <f t="shared" si="3"/>
        <v>143754.834</v>
      </c>
      <c r="E6" s="6">
        <f t="shared" si="4"/>
        <v>143754.834</v>
      </c>
      <c r="F6" s="6">
        <f t="shared" si="5"/>
        <v>222096.334</v>
      </c>
      <c r="G6" s="6">
        <f t="shared" si="6"/>
        <v>65413.33401</v>
      </c>
      <c r="H6" s="6">
        <f t="shared" si="7"/>
        <v>143754.834</v>
      </c>
      <c r="I6" s="6">
        <f t="shared" si="8"/>
        <v>-6464.082993</v>
      </c>
      <c r="J6" s="6">
        <f t="shared" si="9"/>
        <v>293973.751</v>
      </c>
    </row>
    <row r="7">
      <c r="A7" s="4">
        <v>4.0</v>
      </c>
      <c r="B7" s="6">
        <f t="shared" si="1"/>
        <v>143754.834</v>
      </c>
      <c r="C7" s="6">
        <f t="shared" si="2"/>
        <v>143754.834</v>
      </c>
      <c r="D7" s="6">
        <f t="shared" si="3"/>
        <v>143754.834</v>
      </c>
      <c r="E7" s="6">
        <f t="shared" si="4"/>
        <v>143754.834</v>
      </c>
      <c r="F7" s="6">
        <f t="shared" si="5"/>
        <v>222096.334</v>
      </c>
      <c r="G7" s="6">
        <f t="shared" si="6"/>
        <v>65413.33401</v>
      </c>
      <c r="H7" s="6">
        <f t="shared" si="7"/>
        <v>143754.834</v>
      </c>
      <c r="I7" s="6">
        <f t="shared" si="8"/>
        <v>-6464.082993</v>
      </c>
      <c r="J7" s="6">
        <f t="shared" si="9"/>
        <v>293973.751</v>
      </c>
    </row>
    <row r="8">
      <c r="A8" s="4">
        <v>5.0</v>
      </c>
      <c r="B8" s="6">
        <f t="shared" si="1"/>
        <v>143754.834</v>
      </c>
      <c r="C8" s="6">
        <f t="shared" si="2"/>
        <v>143754.834</v>
      </c>
      <c r="D8" s="6">
        <f t="shared" si="3"/>
        <v>143754.834</v>
      </c>
      <c r="E8" s="6">
        <f t="shared" si="4"/>
        <v>143754.834</v>
      </c>
      <c r="F8" s="6">
        <f t="shared" si="5"/>
        <v>222096.334</v>
      </c>
      <c r="G8" s="6">
        <f t="shared" si="6"/>
        <v>65413.33401</v>
      </c>
      <c r="H8" s="6">
        <f t="shared" si="7"/>
        <v>143754.834</v>
      </c>
      <c r="I8" s="6">
        <f t="shared" si="8"/>
        <v>-6464.082993</v>
      </c>
      <c r="J8" s="6">
        <f t="shared" si="9"/>
        <v>293973.751</v>
      </c>
    </row>
    <row r="9">
      <c r="A9" s="45" t="s">
        <v>16</v>
      </c>
      <c r="B9" s="46">
        <f t="array" ref="B9">B3+npv('Yearly Summary'!$B$11, B4:B8)</f>
        <v>151653.5415</v>
      </c>
      <c r="C9" s="47">
        <f t="array" ref="C9">C3+npv('Yearly Summary'!$B$11, C4:C8)</f>
        <v>340542.4304</v>
      </c>
      <c r="D9" s="48">
        <f t="array" ref="D9">D3+npv('Yearly Summary'!$B$11, D4:D8)</f>
        <v>-37235.34739</v>
      </c>
      <c r="E9" s="46">
        <f t="array" ref="E9">E3+npv('Yearly Summary'!$B$11, E4:E8)</f>
        <v>151653.5415</v>
      </c>
      <c r="F9" s="47">
        <f t="array" ref="F9">F3+npv('Yearly Summary'!$B$11, F4:F8)</f>
        <v>455497.9719</v>
      </c>
      <c r="G9" s="48">
        <f t="array" ref="G9">G3+npv('Yearly Summary'!$B$11, G4:G8)</f>
        <v>-152190.8889</v>
      </c>
      <c r="H9" s="46">
        <f t="array" ref="H9">H3+npv('Yearly Summary'!$B$11, H4:H8)</f>
        <v>151653.5415</v>
      </c>
      <c r="I9" s="49">
        <f t="array" ref="I9">I3+npv('Yearly Summary'!$B$11, I4:I8)</f>
        <v>-416906.5485</v>
      </c>
      <c r="J9" s="50">
        <f t="array" ref="J9">J3+npv('Yearly Summary'!$B$11, J4:J8)</f>
        <v>720213.6315</v>
      </c>
    </row>
    <row r="11">
      <c r="A11" s="4" t="s">
        <v>53</v>
      </c>
      <c r="B11" s="4" t="s">
        <v>54</v>
      </c>
      <c r="C11" s="51">
        <v>0.5</v>
      </c>
    </row>
    <row r="13">
      <c r="B13" s="44" t="s">
        <v>55</v>
      </c>
      <c r="E13" s="44" t="s">
        <v>56</v>
      </c>
      <c r="H13" s="44" t="s">
        <v>57</v>
      </c>
    </row>
    <row r="14">
      <c r="A14" s="4" t="s">
        <v>0</v>
      </c>
      <c r="B14" s="4" t="s">
        <v>50</v>
      </c>
      <c r="C14" s="4" t="s">
        <v>51</v>
      </c>
      <c r="D14" s="4" t="s">
        <v>52</v>
      </c>
      <c r="E14" s="4" t="s">
        <v>50</v>
      </c>
      <c r="F14" s="4" t="s">
        <v>51</v>
      </c>
      <c r="G14" s="4" t="s">
        <v>52</v>
      </c>
      <c r="H14" s="4" t="s">
        <v>50</v>
      </c>
      <c r="I14" s="4" t="s">
        <v>51</v>
      </c>
      <c r="J14" s="4" t="s">
        <v>52</v>
      </c>
    </row>
    <row r="15">
      <c r="A15" s="4">
        <v>0.0</v>
      </c>
      <c r="B15" s="6">
        <f>'Yearly Summary'!B2</f>
        <v>-100000</v>
      </c>
      <c r="C15" s="6">
        <f t="shared" ref="C15:C16" si="10">B15*(1-$C$11)</f>
        <v>-50000</v>
      </c>
      <c r="D15" s="6">
        <f t="shared" ref="D15:D16" si="11">B15*(1+$C$11)</f>
        <v>-150000</v>
      </c>
      <c r="E15" s="52" t="str">
        <f>'Yearly Summary'!C2</f>
        <v/>
      </c>
      <c r="H15" s="52" t="str">
        <f>'Yearly Summary'!D2</f>
        <v/>
      </c>
    </row>
    <row r="16">
      <c r="A16" s="4">
        <v>1.0</v>
      </c>
      <c r="B16" s="6">
        <f>'Yearly Summary'!B3</f>
        <v>-300000</v>
      </c>
      <c r="C16" s="6">
        <f t="shared" si="10"/>
        <v>-150000</v>
      </c>
      <c r="D16" s="6">
        <f t="shared" si="11"/>
        <v>-450000</v>
      </c>
      <c r="E16" s="6">
        <f>'Yearly Summary'!C3</f>
        <v>-137350</v>
      </c>
      <c r="F16" s="6">
        <f t="shared" ref="F16:F20" si="12">E16*(1-$C$11)</f>
        <v>-68675</v>
      </c>
      <c r="G16" s="6">
        <f t="shared" ref="G16:G20" si="13">E16*(1+$C$11)</f>
        <v>-206025</v>
      </c>
      <c r="H16" s="6">
        <f>'Yearly Summary'!D3</f>
        <v>233451.7729</v>
      </c>
      <c r="I16" s="6">
        <f t="shared" ref="I16:I20" si="14">H16*(1-$C$11)</f>
        <v>116725.8864</v>
      </c>
      <c r="J16" s="6">
        <f t="shared" ref="J16:J20" si="15">H16*(1+$C$11)</f>
        <v>350177.6593</v>
      </c>
    </row>
    <row r="17">
      <c r="A17" s="4">
        <v>2.0</v>
      </c>
      <c r="B17" s="6" t="str">
        <f>'Yearly Summary'!B4</f>
        <v/>
      </c>
      <c r="E17" s="6">
        <f>'Yearly Summary'!C4</f>
        <v>-156683</v>
      </c>
      <c r="F17" s="6">
        <f t="shared" si="12"/>
        <v>-78341.5</v>
      </c>
      <c r="G17" s="6">
        <f t="shared" si="13"/>
        <v>-235024.5</v>
      </c>
      <c r="H17" s="6">
        <f>'Yearly Summary'!D4</f>
        <v>299951.6264</v>
      </c>
      <c r="I17" s="6">
        <f t="shared" si="14"/>
        <v>149975.8132</v>
      </c>
      <c r="J17" s="6">
        <f t="shared" si="15"/>
        <v>449927.4396</v>
      </c>
    </row>
    <row r="18">
      <c r="A18" s="4">
        <v>3.0</v>
      </c>
      <c r="B18" s="6" t="str">
        <f>'Yearly Summary'!B5</f>
        <v/>
      </c>
      <c r="E18" s="6">
        <f>'Yearly Summary'!C5</f>
        <v>-156683</v>
      </c>
      <c r="F18" s="6">
        <f t="shared" si="12"/>
        <v>-78341.5</v>
      </c>
      <c r="G18" s="6">
        <f t="shared" si="13"/>
        <v>-235024.5</v>
      </c>
      <c r="H18" s="6">
        <f>'Yearly Summary'!D5</f>
        <v>300437.834</v>
      </c>
      <c r="I18" s="6">
        <f t="shared" si="14"/>
        <v>150218.917</v>
      </c>
      <c r="J18" s="6">
        <f t="shared" si="15"/>
        <v>450656.751</v>
      </c>
    </row>
    <row r="19">
      <c r="A19" s="4">
        <v>4.0</v>
      </c>
      <c r="B19" s="6" t="str">
        <f>'Yearly Summary'!B6</f>
        <v/>
      </c>
      <c r="E19" s="6">
        <f>'Yearly Summary'!C6</f>
        <v>-156683</v>
      </c>
      <c r="F19" s="6">
        <f t="shared" si="12"/>
        <v>-78341.5</v>
      </c>
      <c r="G19" s="6">
        <f t="shared" si="13"/>
        <v>-235024.5</v>
      </c>
      <c r="H19" s="6">
        <f>'Yearly Summary'!D6</f>
        <v>300437.834</v>
      </c>
      <c r="I19" s="6">
        <f t="shared" si="14"/>
        <v>150218.917</v>
      </c>
      <c r="J19" s="6">
        <f t="shared" si="15"/>
        <v>450656.751</v>
      </c>
    </row>
    <row r="20">
      <c r="A20" s="4">
        <v>5.0</v>
      </c>
      <c r="B20" s="6" t="str">
        <f>'Yearly Summary'!B7</f>
        <v/>
      </c>
      <c r="E20" s="6">
        <f>'Yearly Summary'!C7</f>
        <v>-156683</v>
      </c>
      <c r="F20" s="6">
        <f t="shared" si="12"/>
        <v>-78341.5</v>
      </c>
      <c r="G20" s="6">
        <f t="shared" si="13"/>
        <v>-235024.5</v>
      </c>
      <c r="H20" s="6">
        <f>'Yearly Summary'!D7</f>
        <v>300437.834</v>
      </c>
      <c r="I20" s="6">
        <f t="shared" si="14"/>
        <v>150218.917</v>
      </c>
      <c r="J20" s="6">
        <f t="shared" si="15"/>
        <v>450656.751</v>
      </c>
    </row>
  </sheetData>
  <mergeCells count="6">
    <mergeCell ref="B1:D1"/>
    <mergeCell ref="E1:G1"/>
    <mergeCell ref="H1:J1"/>
    <mergeCell ref="B13:D13"/>
    <mergeCell ref="E13:G13"/>
    <mergeCell ref="H13:J1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11.5"/>
    <col customWidth="1" min="3" max="3" width="9.88"/>
    <col customWidth="1" min="4" max="4" width="10.25"/>
    <col customWidth="1" min="5" max="5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4">
        <v>0.0</v>
      </c>
      <c r="B2" s="5">
        <f>$C$10*$C$14</f>
        <v>-100000</v>
      </c>
      <c r="E2" s="6">
        <f t="shared" ref="E2:E7" si="1">D2+C2+B2</f>
        <v>-100000</v>
      </c>
      <c r="F2" s="6">
        <f t="shared" ref="F2:F7" si="2">E2/(1+$C$11)^A2</f>
        <v>-100000</v>
      </c>
    </row>
    <row r="3">
      <c r="A3" s="4">
        <v>1.0</v>
      </c>
      <c r="B3" s="5">
        <f>3*$C$10*$C$14</f>
        <v>-300000</v>
      </c>
      <c r="C3" s="6">
        <f>'Monthly Opex'!N6*$C$14</f>
        <v>-137350</v>
      </c>
      <c r="D3" s="6">
        <f>'Monthly Sales'!N7</f>
        <v>233451.7729</v>
      </c>
      <c r="E3" s="6">
        <f t="shared" si="1"/>
        <v>-203898.2271</v>
      </c>
      <c r="F3" s="6">
        <f t="shared" si="2"/>
        <v>-188794.6547</v>
      </c>
    </row>
    <row r="4">
      <c r="A4" s="4">
        <v>2.0</v>
      </c>
      <c r="B4" s="6"/>
      <c r="C4" s="6">
        <f>'Monthly Opex'!N20*$C$14</f>
        <v>-156683</v>
      </c>
      <c r="D4" s="6">
        <f>'Monthly Sales'!N20</f>
        <v>299951.6264</v>
      </c>
      <c r="E4" s="6">
        <f t="shared" si="1"/>
        <v>143268.6264</v>
      </c>
      <c r="F4" s="6">
        <f t="shared" si="2"/>
        <v>122829.7552</v>
      </c>
    </row>
    <row r="5">
      <c r="A5" s="4">
        <v>3.0</v>
      </c>
      <c r="B5" s="6"/>
      <c r="C5" s="6">
        <f t="shared" ref="C5:C7" si="3">C4</f>
        <v>-156683</v>
      </c>
      <c r="D5" s="6">
        <f>'Monthly Sales'!N29</f>
        <v>300437.834</v>
      </c>
      <c r="E5" s="6">
        <f t="shared" si="1"/>
        <v>143754.834</v>
      </c>
      <c r="F5" s="6">
        <f t="shared" si="2"/>
        <v>114117.222</v>
      </c>
    </row>
    <row r="6">
      <c r="A6" s="4">
        <v>4.0</v>
      </c>
      <c r="B6" s="6"/>
      <c r="C6" s="6">
        <f t="shared" si="3"/>
        <v>-156683</v>
      </c>
      <c r="D6" s="6">
        <f t="shared" ref="D6:D7" si="4">D5</f>
        <v>300437.834</v>
      </c>
      <c r="E6" s="6">
        <f t="shared" si="1"/>
        <v>143754.834</v>
      </c>
      <c r="F6" s="6">
        <f t="shared" si="2"/>
        <v>105664.0945</v>
      </c>
    </row>
    <row r="7">
      <c r="A7" s="4">
        <v>5.0</v>
      </c>
      <c r="B7" s="6"/>
      <c r="C7" s="6">
        <f t="shared" si="3"/>
        <v>-156683</v>
      </c>
      <c r="D7" s="6">
        <f t="shared" si="4"/>
        <v>300437.834</v>
      </c>
      <c r="E7" s="6">
        <f t="shared" si="1"/>
        <v>143754.834</v>
      </c>
      <c r="F7" s="6">
        <f t="shared" si="2"/>
        <v>97837.12452</v>
      </c>
    </row>
    <row r="8">
      <c r="F8" s="18">
        <f>SUM(F2:F7)</f>
        <v>151653.5415</v>
      </c>
    </row>
    <row r="9">
      <c r="B9" s="19" t="s">
        <v>12</v>
      </c>
      <c r="C9" s="20"/>
    </row>
    <row r="10">
      <c r="B10" s="23" t="s">
        <v>15</v>
      </c>
      <c r="C10" s="24">
        <v>100000.0</v>
      </c>
      <c r="E10" s="53" t="s">
        <v>58</v>
      </c>
      <c r="F10" s="54">
        <f t="array" ref="F10">npv(C11,E2:E7)</f>
        <v>140419.9458</v>
      </c>
    </row>
    <row r="11">
      <c r="B11" s="27" t="s">
        <v>18</v>
      </c>
      <c r="C11" s="28">
        <v>0.08</v>
      </c>
      <c r="E11" s="29" t="s">
        <v>19</v>
      </c>
      <c r="F11" s="55">
        <f>irr(E2:E7,0.03)</f>
        <v>0.2647717425</v>
      </c>
    </row>
    <row r="14">
      <c r="B14" s="4" t="s">
        <v>21</v>
      </c>
      <c r="C14" s="33">
        <v>-1.0</v>
      </c>
    </row>
    <row r="16">
      <c r="B16" s="4" t="s">
        <v>59</v>
      </c>
      <c r="C16" s="4" t="s">
        <v>60</v>
      </c>
      <c r="D16" s="4" t="s">
        <v>61</v>
      </c>
    </row>
    <row r="17">
      <c r="B17" s="6">
        <f>sum(B2:B3)+sum(C2:C7)</f>
        <v>-1164082</v>
      </c>
      <c r="C17" s="6">
        <f>sum(D2:D7)</f>
        <v>1434716.901</v>
      </c>
      <c r="D17" s="56">
        <f>(C17+B17)/(C14*B17)</f>
        <v>0.2324878328</v>
      </c>
    </row>
    <row r="36">
      <c r="B36" s="5"/>
      <c r="C36" s="5"/>
      <c r="D36" s="37"/>
    </row>
    <row r="37">
      <c r="B37" s="5"/>
      <c r="C37" s="5"/>
      <c r="D37" s="37"/>
    </row>
    <row r="38">
      <c r="B38" s="5"/>
      <c r="C38" s="5"/>
      <c r="D38" s="37"/>
    </row>
  </sheetData>
  <mergeCells count="1">
    <mergeCell ref="B9:C9"/>
  </mergeCells>
  <drawing r:id="rId1"/>
</worksheet>
</file>